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74" documentId="8_{071D47EC-2C95-44DB-B6FE-E14996C0CB3D}" xr6:coauthVersionLast="47" xr6:coauthVersionMax="47" xr10:uidLastSave="{B909E9A3-1892-4A5F-BFB4-33CAFBDBB699}"/>
  <bookViews>
    <workbookView xWindow="6083" yWindow="1583" windowWidth="17955" windowHeight="7882" firstSheet="1" activeTab="1" xr2:uid="{C1F7BBC7-2AFE-4999-8A3E-EF1226443E6D}"/>
  </bookViews>
  <sheets>
    <sheet name="Sheet1" sheetId="1" r:id="rId1"/>
    <sheet name="FINAL" sheetId="6" r:id="rId2"/>
    <sheet name="förklaringar av data" sheetId="7" r:id="rId3"/>
    <sheet name="part info" sheetId="2" r:id="rId4"/>
    <sheet name="pre-bwe" sheetId="4" r:id="rId5"/>
    <sheet name="post-bw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6" l="1"/>
  <c r="R10" i="6"/>
  <c r="T10" i="6"/>
  <c r="S10" i="6"/>
  <c r="S3" i="6"/>
  <c r="S4" i="6"/>
  <c r="S5" i="6"/>
  <c r="S6" i="6"/>
  <c r="S7" i="6"/>
  <c r="S8" i="6"/>
  <c r="S9" i="6"/>
  <c r="S11" i="6"/>
  <c r="T3" i="6"/>
  <c r="T4" i="6"/>
  <c r="T5" i="6"/>
  <c r="T6" i="6"/>
  <c r="T7" i="6"/>
  <c r="T8" i="6"/>
  <c r="T9" i="6"/>
  <c r="T11" i="6"/>
  <c r="T2" i="6"/>
  <c r="S2" i="6"/>
  <c r="R3" i="6"/>
  <c r="R4" i="6"/>
  <c r="R5" i="6"/>
  <c r="R6" i="6"/>
  <c r="R7" i="6"/>
  <c r="R8" i="6"/>
  <c r="R9" i="6"/>
  <c r="R11" i="6"/>
  <c r="R2" i="6"/>
</calcChain>
</file>

<file path=xl/sharedStrings.xml><?xml version="1.0" encoding="utf-8"?>
<sst xmlns="http://schemas.openxmlformats.org/spreadsheetml/2006/main" count="80" uniqueCount="57">
  <si>
    <t>participant</t>
  </si>
  <si>
    <t>exp1</t>
  </si>
  <si>
    <t>session</t>
  </si>
  <si>
    <t>exp2</t>
  </si>
  <si>
    <t>AUT1</t>
  </si>
  <si>
    <t>AUT2</t>
  </si>
  <si>
    <t>presented nr</t>
  </si>
  <si>
    <t>response time</t>
  </si>
  <si>
    <t>correct</t>
  </si>
  <si>
    <t>miss</t>
  </si>
  <si>
    <t>false alarm</t>
  </si>
  <si>
    <t>key pressed</t>
  </si>
  <si>
    <t>nr ok words1</t>
  </si>
  <si>
    <t>nr ok words2</t>
  </si>
  <si>
    <t>exp3</t>
  </si>
  <si>
    <t>exp4</t>
  </si>
  <si>
    <t>exp5</t>
  </si>
  <si>
    <t>exp6</t>
  </si>
  <si>
    <t>exp7</t>
  </si>
  <si>
    <t>exp8</t>
  </si>
  <si>
    <t>exp9</t>
  </si>
  <si>
    <t>exp10</t>
  </si>
  <si>
    <t xml:space="preserve"> feremntation vessel, baseball bat, rain water collector, spyglass, musical instrument, candel holder, decorative item, rolling pin, leftovers container, vase, </t>
  </si>
  <si>
    <t xml:space="preserve">feet ware, pretend telephone, door stop, ping pong paddle, football, drinking cup, protective glove, vapen, sittdyna, paper weight, </t>
  </si>
  <si>
    <t>part id</t>
  </si>
  <si>
    <t>group</t>
  </si>
  <si>
    <t>belief</t>
  </si>
  <si>
    <t>group 1 = correct BEW type</t>
  </si>
  <si>
    <t>group 2 = incorrect BEW type</t>
  </si>
  <si>
    <t>part id = expNr!</t>
  </si>
  <si>
    <t>cpt nr correct</t>
  </si>
  <si>
    <t>cpt avg correct rt</t>
  </si>
  <si>
    <t>cpt nr miss</t>
  </si>
  <si>
    <t>cpt nr false</t>
  </si>
  <si>
    <t>aut2 nr ok</t>
  </si>
  <si>
    <t>aut avg nr ok</t>
  </si>
  <si>
    <t>aut1 nr ok</t>
  </si>
  <si>
    <t>part ID</t>
  </si>
  <si>
    <t>AUT pre</t>
  </si>
  <si>
    <t>AUT post</t>
  </si>
  <si>
    <t>CPT hit pre</t>
  </si>
  <si>
    <t>CPT hit post</t>
  </si>
  <si>
    <t>CPT miss pre</t>
  </si>
  <si>
    <t>CPT miss post</t>
  </si>
  <si>
    <t>CPT false pre</t>
  </si>
  <si>
    <t>CPT false post</t>
  </si>
  <si>
    <t>avg rt pre</t>
  </si>
  <si>
    <t>avg rt post</t>
  </si>
  <si>
    <t>age</t>
  </si>
  <si>
    <t>gender</t>
  </si>
  <si>
    <t>gender = m = 1, f = 2, other = 3</t>
  </si>
  <si>
    <t>group = corr = 1, incorr = 2</t>
  </si>
  <si>
    <t>CPT pre hit pct</t>
  </si>
  <si>
    <t>CPT post hit pct</t>
  </si>
  <si>
    <t>AUTdiff</t>
  </si>
  <si>
    <t>hitPctDiff</t>
  </si>
  <si>
    <t>rtDiff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</si>
</sst>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"/>
    <numFmt numFmtId="166" formatCode="0.000"/>
    <numFmt numFmtId="167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4E50-9224-43BD-9BCD-224B831DF1E5}">
  <dimension ref="B1:O31"/>
  <sheetViews>
    <sheetView workbookViewId="0">
      <selection activeCell="H3" sqref="H3"/>
    </sheetView>
  </sheetViews>
  <sheetFormatPr defaultRowHeight="14.25" x14ac:dyDescent="0.45"/>
  <cols>
    <col min="5" max="5" width="121.46484375" bestFit="1" customWidth="1"/>
    <col min="6" max="6" width="10.59765625" bestFit="1" customWidth="1"/>
    <col min="7" max="7" width="101.46484375" bestFit="1" customWidth="1"/>
    <col min="8" max="8" width="10.59765625" bestFit="1" customWidth="1"/>
    <col min="10" max="10" width="10.53125" bestFit="1" customWidth="1"/>
    <col min="11" max="11" width="11.796875" bestFit="1" customWidth="1"/>
  </cols>
  <sheetData>
    <row r="1" spans="2:15" x14ac:dyDescent="0.45">
      <c r="B1" t="s">
        <v>0</v>
      </c>
      <c r="C1" t="s">
        <v>2</v>
      </c>
      <c r="E1" t="s">
        <v>4</v>
      </c>
      <c r="F1" t="s">
        <v>12</v>
      </c>
      <c r="G1" t="s">
        <v>5</v>
      </c>
      <c r="H1" t="s">
        <v>13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7</v>
      </c>
    </row>
    <row r="3" spans="2:15" x14ac:dyDescent="0.45">
      <c r="B3" t="s">
        <v>1</v>
      </c>
      <c r="C3">
        <v>1</v>
      </c>
      <c r="E3" t="s">
        <v>22</v>
      </c>
      <c r="G3" t="s">
        <v>23</v>
      </c>
    </row>
    <row r="4" spans="2:15" x14ac:dyDescent="0.45">
      <c r="B4" t="s">
        <v>1</v>
      </c>
      <c r="C4">
        <v>2</v>
      </c>
    </row>
    <row r="6" spans="2:15" x14ac:dyDescent="0.45">
      <c r="B6" t="s">
        <v>3</v>
      </c>
      <c r="C6">
        <v>1</v>
      </c>
    </row>
    <row r="7" spans="2:15" x14ac:dyDescent="0.45">
      <c r="B7" t="s">
        <v>3</v>
      </c>
      <c r="C7">
        <v>2</v>
      </c>
    </row>
    <row r="9" spans="2:15" x14ac:dyDescent="0.45">
      <c r="B9" t="s">
        <v>14</v>
      </c>
      <c r="C9">
        <v>1</v>
      </c>
    </row>
    <row r="10" spans="2:15" x14ac:dyDescent="0.45">
      <c r="B10" t="s">
        <v>14</v>
      </c>
      <c r="C10">
        <v>2</v>
      </c>
    </row>
    <row r="12" spans="2:15" x14ac:dyDescent="0.45">
      <c r="B12" t="s">
        <v>15</v>
      </c>
      <c r="C12">
        <v>1</v>
      </c>
    </row>
    <row r="13" spans="2:15" x14ac:dyDescent="0.45">
      <c r="B13" t="s">
        <v>15</v>
      </c>
      <c r="C13">
        <v>2</v>
      </c>
    </row>
    <row r="15" spans="2:15" x14ac:dyDescent="0.45">
      <c r="B15" t="s">
        <v>16</v>
      </c>
      <c r="C15">
        <v>1</v>
      </c>
    </row>
    <row r="16" spans="2:15" x14ac:dyDescent="0.45">
      <c r="B16" t="s">
        <v>16</v>
      </c>
      <c r="C16">
        <v>2</v>
      </c>
    </row>
    <row r="18" spans="2:3" x14ac:dyDescent="0.45">
      <c r="B18" t="s">
        <v>17</v>
      </c>
      <c r="C18">
        <v>1</v>
      </c>
    </row>
    <row r="19" spans="2:3" x14ac:dyDescent="0.45">
      <c r="B19" t="s">
        <v>17</v>
      </c>
      <c r="C19">
        <v>2</v>
      </c>
    </row>
    <row r="21" spans="2:3" x14ac:dyDescent="0.45">
      <c r="B21" t="s">
        <v>18</v>
      </c>
      <c r="C21">
        <v>1</v>
      </c>
    </row>
    <row r="22" spans="2:3" x14ac:dyDescent="0.45">
      <c r="B22" t="s">
        <v>18</v>
      </c>
      <c r="C22">
        <v>2</v>
      </c>
    </row>
    <row r="24" spans="2:3" x14ac:dyDescent="0.45">
      <c r="B24" t="s">
        <v>19</v>
      </c>
      <c r="C24">
        <v>1</v>
      </c>
    </row>
    <row r="25" spans="2:3" x14ac:dyDescent="0.45">
      <c r="B25" t="s">
        <v>19</v>
      </c>
      <c r="C25">
        <v>2</v>
      </c>
    </row>
    <row r="27" spans="2:3" x14ac:dyDescent="0.45">
      <c r="B27" t="s">
        <v>20</v>
      </c>
      <c r="C27">
        <v>1</v>
      </c>
    </row>
    <row r="28" spans="2:3" x14ac:dyDescent="0.45">
      <c r="B28" t="s">
        <v>20</v>
      </c>
      <c r="C28">
        <v>2</v>
      </c>
    </row>
    <row r="30" spans="2:3" x14ac:dyDescent="0.45">
      <c r="B30" t="s">
        <v>21</v>
      </c>
      <c r="C30">
        <v>1</v>
      </c>
    </row>
    <row r="31" spans="2:3" x14ac:dyDescent="0.45">
      <c r="B31" t="s">
        <v>21</v>
      </c>
      <c r="C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5BDA-A8E9-4A79-B96B-8B605F16E36B}">
  <dimension ref="A1:X16"/>
  <sheetViews>
    <sheetView tabSelected="1" topLeftCell="B1" workbookViewId="0">
      <selection activeCell="Q2" sqref="Q2"/>
    </sheetView>
  </sheetViews>
  <sheetFormatPr defaultRowHeight="14.25" x14ac:dyDescent="0.45"/>
  <cols>
    <col min="1" max="1" width="5.86328125" bestFit="1" customWidth="1"/>
    <col min="2" max="2" width="6.46484375" bestFit="1" customWidth="1"/>
    <col min="3" max="3" width="5.86328125" customWidth="1"/>
    <col min="4" max="4" width="5.19921875" bestFit="1" customWidth="1"/>
    <col min="5" max="5" width="5.06640625" bestFit="1" customWidth="1"/>
    <col min="6" max="6" width="6.6640625" bestFit="1" customWidth="1"/>
    <col min="7" max="7" width="7.59765625" bestFit="1" customWidth="1"/>
    <col min="10" max="10" width="10" bestFit="1" customWidth="1"/>
    <col min="11" max="11" width="10" customWidth="1"/>
    <col min="12" max="12" width="10.73046875" bestFit="1" customWidth="1"/>
    <col min="13" max="13" width="11.6640625" bestFit="1" customWidth="1"/>
    <col min="14" max="14" width="10.73046875" bestFit="1" customWidth="1"/>
    <col min="15" max="15" width="11.6640625" bestFit="1" customWidth="1"/>
    <col min="16" max="17" width="10.265625" bestFit="1" customWidth="1"/>
    <col min="20" max="20" width="10.86328125" bestFit="1" customWidth="1"/>
    <col min="23" max="23" width="10.86328125" bestFit="1" customWidth="1"/>
  </cols>
  <sheetData>
    <row r="1" spans="1:24" x14ac:dyDescent="0.45">
      <c r="A1" t="s">
        <v>37</v>
      </c>
      <c r="B1" t="s">
        <v>49</v>
      </c>
      <c r="C1" t="s">
        <v>48</v>
      </c>
      <c r="D1" t="s">
        <v>25</v>
      </c>
      <c r="E1" t="s">
        <v>26</v>
      </c>
      <c r="F1" t="s">
        <v>38</v>
      </c>
      <c r="G1" t="s">
        <v>39</v>
      </c>
      <c r="H1" t="s">
        <v>40</v>
      </c>
      <c r="I1" t="s">
        <v>52</v>
      </c>
      <c r="J1" t="s">
        <v>41</v>
      </c>
      <c r="K1" t="s">
        <v>53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54</v>
      </c>
      <c r="S1" t="s">
        <v>55</v>
      </c>
      <c r="T1" t="s">
        <v>56</v>
      </c>
    </row>
    <row r="2" spans="1:24" x14ac:dyDescent="0.45">
      <c r="A2">
        <v>1</v>
      </c>
      <c r="B2">
        <v>1</v>
      </c>
      <c r="C2">
        <v>24</v>
      </c>
      <c r="D2">
        <v>1</v>
      </c>
      <c r="E2">
        <v>5</v>
      </c>
      <c r="F2" s="2">
        <v>8</v>
      </c>
      <c r="G2" s="2">
        <v>12.5</v>
      </c>
      <c r="H2" s="2">
        <v>27</v>
      </c>
      <c r="I2" s="4">
        <v>1</v>
      </c>
      <c r="J2" s="2">
        <v>42</v>
      </c>
      <c r="K2" s="4">
        <v>1</v>
      </c>
      <c r="L2" s="2">
        <v>0</v>
      </c>
      <c r="M2" s="2">
        <v>0</v>
      </c>
      <c r="N2" s="2">
        <v>0</v>
      </c>
      <c r="O2" s="2">
        <v>0</v>
      </c>
      <c r="P2" s="1">
        <v>0.49156333299999999</v>
      </c>
      <c r="Q2" s="1">
        <v>0.48018034999999998</v>
      </c>
      <c r="R2" s="2">
        <f>G2-F2</f>
        <v>4.5</v>
      </c>
      <c r="S2" s="3">
        <f>K2-I2</f>
        <v>0</v>
      </c>
      <c r="T2" s="1">
        <f>Q2-P2</f>
        <v>-1.1382983000000013E-2</v>
      </c>
      <c r="U2" s="2"/>
      <c r="V2" s="3"/>
      <c r="W2" s="1"/>
      <c r="X2" s="2"/>
    </row>
    <row r="3" spans="1:24" x14ac:dyDescent="0.45">
      <c r="A3">
        <v>2</v>
      </c>
      <c r="B3">
        <v>2</v>
      </c>
      <c r="C3">
        <v>26</v>
      </c>
      <c r="D3">
        <v>2</v>
      </c>
      <c r="E3">
        <v>7</v>
      </c>
      <c r="F3" s="2">
        <v>6</v>
      </c>
      <c r="G3" s="2">
        <v>4</v>
      </c>
      <c r="H3" s="2">
        <v>49</v>
      </c>
      <c r="I3" s="4">
        <v>1</v>
      </c>
      <c r="J3" s="2">
        <v>43</v>
      </c>
      <c r="K3" s="4">
        <v>1</v>
      </c>
      <c r="L3" s="2">
        <v>0</v>
      </c>
      <c r="M3" s="2">
        <v>0</v>
      </c>
      <c r="N3" s="2">
        <v>0</v>
      </c>
      <c r="O3" s="2">
        <v>0</v>
      </c>
      <c r="P3" s="1">
        <v>0.48321900000000001</v>
      </c>
      <c r="Q3" s="1">
        <v>0.48151100000000002</v>
      </c>
      <c r="R3" s="2">
        <f t="shared" ref="R3:R11" si="0">G3-F3</f>
        <v>-2</v>
      </c>
      <c r="S3" s="3">
        <f t="shared" ref="S3:S11" si="1">K3-I3</f>
        <v>0</v>
      </c>
      <c r="T3" s="1">
        <f t="shared" ref="T3:T11" si="2">Q3-P3</f>
        <v>-1.7079999999999873E-3</v>
      </c>
    </row>
    <row r="4" spans="1:24" x14ac:dyDescent="0.45">
      <c r="A4">
        <v>3</v>
      </c>
      <c r="B4">
        <v>2</v>
      </c>
      <c r="C4">
        <v>48</v>
      </c>
      <c r="D4">
        <v>1</v>
      </c>
      <c r="E4">
        <v>7</v>
      </c>
      <c r="F4" s="2">
        <v>12</v>
      </c>
      <c r="G4" s="2">
        <v>15</v>
      </c>
      <c r="H4" s="2">
        <v>43</v>
      </c>
      <c r="I4" s="4">
        <v>1</v>
      </c>
      <c r="J4" s="2">
        <v>43</v>
      </c>
      <c r="K4" s="4">
        <v>0.95555599999999996</v>
      </c>
      <c r="L4" s="2">
        <v>0</v>
      </c>
      <c r="M4" s="2">
        <v>2</v>
      </c>
      <c r="N4" s="2">
        <v>1</v>
      </c>
      <c r="O4" s="2">
        <v>0</v>
      </c>
      <c r="P4" s="1">
        <v>0.49886399999999997</v>
      </c>
      <c r="Q4" s="1">
        <v>0.48878899999999997</v>
      </c>
      <c r="R4" s="2">
        <f t="shared" si="0"/>
        <v>3</v>
      </c>
      <c r="S4" s="3">
        <f t="shared" si="1"/>
        <v>-4.4444000000000039E-2</v>
      </c>
      <c r="T4" s="1">
        <f t="shared" si="2"/>
        <v>-1.0075000000000001E-2</v>
      </c>
    </row>
    <row r="5" spans="1:24" x14ac:dyDescent="0.45">
      <c r="A5">
        <v>4</v>
      </c>
      <c r="B5">
        <v>2</v>
      </c>
      <c r="C5">
        <v>42</v>
      </c>
      <c r="D5">
        <v>2</v>
      </c>
      <c r="E5">
        <v>2</v>
      </c>
      <c r="F5" s="2">
        <v>7.5</v>
      </c>
      <c r="G5" s="2">
        <v>5</v>
      </c>
      <c r="H5" s="2">
        <v>32</v>
      </c>
      <c r="I5" s="4">
        <v>0.96969700000000003</v>
      </c>
      <c r="J5" s="2">
        <v>45</v>
      </c>
      <c r="K5" s="4">
        <v>0.97826100000000005</v>
      </c>
      <c r="L5" s="2">
        <v>1</v>
      </c>
      <c r="M5" s="2">
        <v>1</v>
      </c>
      <c r="N5" s="2">
        <v>1</v>
      </c>
      <c r="O5" s="2">
        <v>2</v>
      </c>
      <c r="P5" s="1">
        <v>0.53252299999999997</v>
      </c>
      <c r="Q5" s="1">
        <v>0.476941</v>
      </c>
      <c r="R5" s="2">
        <f t="shared" si="0"/>
        <v>-2.5</v>
      </c>
      <c r="S5" s="3">
        <f t="shared" si="1"/>
        <v>8.564000000000016E-3</v>
      </c>
      <c r="T5" s="1">
        <f t="shared" si="2"/>
        <v>-5.5581999999999965E-2</v>
      </c>
    </row>
    <row r="6" spans="1:24" x14ac:dyDescent="0.45">
      <c r="A6">
        <v>5</v>
      </c>
      <c r="B6">
        <v>2</v>
      </c>
      <c r="C6">
        <v>35</v>
      </c>
      <c r="D6">
        <v>1</v>
      </c>
      <c r="E6">
        <v>6</v>
      </c>
      <c r="F6" s="2">
        <v>11</v>
      </c>
      <c r="G6" s="2">
        <v>13.5</v>
      </c>
      <c r="H6" s="2">
        <v>46</v>
      </c>
      <c r="I6" s="4">
        <v>1</v>
      </c>
      <c r="J6" s="2">
        <v>39</v>
      </c>
      <c r="K6" s="4">
        <v>1</v>
      </c>
      <c r="L6" s="2">
        <v>0</v>
      </c>
      <c r="M6" s="2">
        <v>0</v>
      </c>
      <c r="N6" s="2">
        <v>1</v>
      </c>
      <c r="O6" s="2">
        <v>0</v>
      </c>
      <c r="P6" s="1">
        <v>0.41264400000000001</v>
      </c>
      <c r="Q6" s="1">
        <v>0.42140976699999999</v>
      </c>
      <c r="R6" s="2">
        <f t="shared" si="0"/>
        <v>2.5</v>
      </c>
      <c r="S6" s="3">
        <f t="shared" si="1"/>
        <v>0</v>
      </c>
      <c r="T6" s="1">
        <f t="shared" si="2"/>
        <v>8.7657669999999799E-3</v>
      </c>
    </row>
    <row r="7" spans="1:24" x14ac:dyDescent="0.45">
      <c r="A7">
        <v>6</v>
      </c>
      <c r="B7">
        <v>2</v>
      </c>
      <c r="C7">
        <v>24</v>
      </c>
      <c r="D7">
        <v>2</v>
      </c>
      <c r="E7">
        <v>4</v>
      </c>
      <c r="F7" s="2">
        <v>9</v>
      </c>
      <c r="G7" s="2">
        <v>5.5</v>
      </c>
      <c r="H7" s="2">
        <v>48</v>
      </c>
      <c r="I7" s="4">
        <v>1</v>
      </c>
      <c r="J7" s="2">
        <v>46</v>
      </c>
      <c r="K7" s="4">
        <v>0.97872300000000001</v>
      </c>
      <c r="L7" s="2">
        <v>0</v>
      </c>
      <c r="M7" s="2">
        <v>1</v>
      </c>
      <c r="N7" s="2">
        <v>0</v>
      </c>
      <c r="O7" s="2">
        <v>1</v>
      </c>
      <c r="P7" s="1">
        <v>0.41073900000000002</v>
      </c>
      <c r="Q7" s="1">
        <v>0.422989</v>
      </c>
      <c r="R7" s="2">
        <f t="shared" si="0"/>
        <v>-3.5</v>
      </c>
      <c r="S7" s="3">
        <f t="shared" si="1"/>
        <v>-2.127699999999999E-2</v>
      </c>
      <c r="T7" s="1">
        <f t="shared" si="2"/>
        <v>1.2249999999999983E-2</v>
      </c>
    </row>
    <row r="8" spans="1:24" x14ac:dyDescent="0.45">
      <c r="A8">
        <v>7</v>
      </c>
      <c r="B8">
        <v>1</v>
      </c>
      <c r="C8">
        <v>25</v>
      </c>
      <c r="D8">
        <v>1</v>
      </c>
      <c r="E8">
        <v>6</v>
      </c>
      <c r="F8" s="2">
        <v>3.5</v>
      </c>
      <c r="G8" s="2">
        <v>6</v>
      </c>
      <c r="H8" s="2">
        <v>43</v>
      </c>
      <c r="I8" s="4">
        <v>0.97727299999999995</v>
      </c>
      <c r="J8" s="2">
        <v>45</v>
      </c>
      <c r="K8" s="4">
        <v>0.97826100000000005</v>
      </c>
      <c r="L8" s="2">
        <v>1</v>
      </c>
      <c r="M8" s="2">
        <v>1</v>
      </c>
      <c r="N8" s="2">
        <v>0</v>
      </c>
      <c r="O8" s="2">
        <v>0</v>
      </c>
      <c r="P8" s="1">
        <v>0.47101599999999999</v>
      </c>
      <c r="Q8" s="1">
        <v>0.46755400000000003</v>
      </c>
      <c r="R8" s="2">
        <f t="shared" si="0"/>
        <v>2.5</v>
      </c>
      <c r="S8" s="3">
        <f t="shared" si="1"/>
        <v>9.8800000000009991E-4</v>
      </c>
      <c r="T8" s="1">
        <f t="shared" si="2"/>
        <v>-3.4619999999999651E-3</v>
      </c>
    </row>
    <row r="9" spans="1:24" x14ac:dyDescent="0.45">
      <c r="A9">
        <v>8</v>
      </c>
      <c r="B9">
        <v>2</v>
      </c>
      <c r="C9">
        <v>24</v>
      </c>
      <c r="D9">
        <v>2</v>
      </c>
      <c r="E9">
        <v>6</v>
      </c>
      <c r="F9" s="2">
        <v>3.5</v>
      </c>
      <c r="G9" s="2">
        <v>6.5</v>
      </c>
      <c r="H9" s="2">
        <v>37</v>
      </c>
      <c r="I9" s="4">
        <v>1</v>
      </c>
      <c r="J9" s="2">
        <v>42</v>
      </c>
      <c r="K9" s="4">
        <v>1</v>
      </c>
      <c r="L9" s="2">
        <v>0</v>
      </c>
      <c r="M9" s="2">
        <v>0</v>
      </c>
      <c r="N9" s="2">
        <v>0</v>
      </c>
      <c r="O9" s="2">
        <v>0</v>
      </c>
      <c r="P9" s="1">
        <v>0.41818100000000002</v>
      </c>
      <c r="Q9" s="1">
        <v>0.42732500000000001</v>
      </c>
      <c r="R9" s="2">
        <f t="shared" si="0"/>
        <v>3</v>
      </c>
      <c r="S9" s="3">
        <f t="shared" si="1"/>
        <v>0</v>
      </c>
      <c r="T9" s="1">
        <f t="shared" si="2"/>
        <v>9.1439999999999855E-3</v>
      </c>
    </row>
    <row r="10" spans="1:24" x14ac:dyDescent="0.45">
      <c r="A10">
        <v>9</v>
      </c>
      <c r="B10">
        <v>2</v>
      </c>
      <c r="C10">
        <v>42</v>
      </c>
      <c r="D10">
        <v>1</v>
      </c>
      <c r="E10">
        <v>6</v>
      </c>
      <c r="F10" s="2">
        <v>11</v>
      </c>
      <c r="G10" s="2">
        <v>10</v>
      </c>
      <c r="H10" s="2">
        <v>49</v>
      </c>
      <c r="I10" s="4">
        <v>1</v>
      </c>
      <c r="J10" s="2">
        <v>46</v>
      </c>
      <c r="K10" s="4">
        <v>1</v>
      </c>
      <c r="L10" s="2">
        <v>0</v>
      </c>
      <c r="M10" s="2">
        <v>0</v>
      </c>
      <c r="N10" s="2">
        <v>0</v>
      </c>
      <c r="O10" s="2">
        <v>0</v>
      </c>
      <c r="P10" s="1">
        <v>0.45723399999999997</v>
      </c>
      <c r="Q10" s="1">
        <v>0.44015300000000002</v>
      </c>
      <c r="R10" s="2">
        <f t="shared" si="0"/>
        <v>-1</v>
      </c>
      <c r="S10" s="3">
        <f t="shared" si="1"/>
        <v>0</v>
      </c>
      <c r="T10" s="1">
        <f t="shared" si="2"/>
        <v>-1.7080999999999957E-2</v>
      </c>
    </row>
    <row r="11" spans="1:24" x14ac:dyDescent="0.45">
      <c r="A11">
        <v>10</v>
      </c>
      <c r="B11">
        <v>1</v>
      </c>
      <c r="C11">
        <v>42</v>
      </c>
      <c r="D11">
        <v>2</v>
      </c>
      <c r="E11">
        <v>7</v>
      </c>
      <c r="F11" s="2">
        <v>14.5</v>
      </c>
      <c r="G11" s="2">
        <v>13.5</v>
      </c>
      <c r="H11" s="2">
        <v>39</v>
      </c>
      <c r="I11" s="4">
        <v>0.97499999999999998</v>
      </c>
      <c r="J11" s="2">
        <v>46</v>
      </c>
      <c r="K11" s="4">
        <v>1</v>
      </c>
      <c r="L11" s="2">
        <v>0</v>
      </c>
      <c r="M11" s="2">
        <v>0</v>
      </c>
      <c r="N11" s="2">
        <v>1</v>
      </c>
      <c r="O11" s="2">
        <v>0</v>
      </c>
      <c r="P11" s="1">
        <v>0.39638600000000002</v>
      </c>
      <c r="Q11" s="1">
        <v>0.39930300000000002</v>
      </c>
      <c r="R11" s="2">
        <f t="shared" si="0"/>
        <v>-1</v>
      </c>
      <c r="S11" s="3">
        <f t="shared" si="1"/>
        <v>2.5000000000000022E-2</v>
      </c>
      <c r="T11" s="1">
        <f t="shared" si="2"/>
        <v>2.9170000000000029E-3</v>
      </c>
    </row>
    <row r="16" spans="1:24" x14ac:dyDescent="0.45">
      <c r="K16">
        <f>COUNTIF(AB23:AB262, "*4*")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C3D8-3B91-4B99-9709-2224B8EA4031}">
  <dimension ref="B2:B3"/>
  <sheetViews>
    <sheetView workbookViewId="0">
      <selection activeCell="C9" sqref="C9"/>
    </sheetView>
  </sheetViews>
  <sheetFormatPr defaultRowHeight="14.25" x14ac:dyDescent="0.45"/>
  <sheetData>
    <row r="2" spans="2:2" x14ac:dyDescent="0.45">
      <c r="B2" t="s">
        <v>51</v>
      </c>
    </row>
    <row r="3" spans="2:2" x14ac:dyDescent="0.45">
      <c r="B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C5D0-408F-4FEC-A6EF-8EAD8D89A45C}">
  <dimension ref="A1:C17"/>
  <sheetViews>
    <sheetView workbookViewId="0">
      <selection activeCell="E15" sqref="E15"/>
    </sheetView>
  </sheetViews>
  <sheetFormatPr defaultRowHeight="14.25" x14ac:dyDescent="0.45"/>
  <sheetData>
    <row r="1" spans="1:3" x14ac:dyDescent="0.45">
      <c r="A1" t="s">
        <v>24</v>
      </c>
      <c r="B1" t="s">
        <v>25</v>
      </c>
      <c r="C1" t="s">
        <v>26</v>
      </c>
    </row>
    <row r="2" spans="1:3" x14ac:dyDescent="0.45">
      <c r="A2">
        <v>1</v>
      </c>
      <c r="B2">
        <v>1</v>
      </c>
    </row>
    <row r="3" spans="1:3" x14ac:dyDescent="0.45">
      <c r="A3">
        <v>2</v>
      </c>
      <c r="B3">
        <v>2</v>
      </c>
    </row>
    <row r="4" spans="1:3" x14ac:dyDescent="0.45">
      <c r="A4">
        <v>3</v>
      </c>
      <c r="B4">
        <v>1</v>
      </c>
    </row>
    <row r="5" spans="1:3" x14ac:dyDescent="0.45">
      <c r="A5">
        <v>4</v>
      </c>
      <c r="B5">
        <v>2</v>
      </c>
    </row>
    <row r="6" spans="1:3" x14ac:dyDescent="0.45">
      <c r="A6">
        <v>5</v>
      </c>
      <c r="B6">
        <v>1</v>
      </c>
    </row>
    <row r="7" spans="1:3" x14ac:dyDescent="0.45">
      <c r="A7">
        <v>6</v>
      </c>
      <c r="B7">
        <v>2</v>
      </c>
    </row>
    <row r="8" spans="1:3" x14ac:dyDescent="0.45">
      <c r="A8">
        <v>7</v>
      </c>
      <c r="B8">
        <v>1</v>
      </c>
    </row>
    <row r="9" spans="1:3" x14ac:dyDescent="0.45">
      <c r="A9">
        <v>8</v>
      </c>
      <c r="B9">
        <v>2</v>
      </c>
    </row>
    <row r="10" spans="1:3" x14ac:dyDescent="0.45">
      <c r="A10">
        <v>9</v>
      </c>
      <c r="B10">
        <v>1</v>
      </c>
    </row>
    <row r="11" spans="1:3" x14ac:dyDescent="0.45">
      <c r="A11">
        <v>10</v>
      </c>
      <c r="B11">
        <v>2</v>
      </c>
    </row>
    <row r="14" spans="1:3" x14ac:dyDescent="0.45">
      <c r="A14" t="s">
        <v>27</v>
      </c>
    </row>
    <row r="15" spans="1:3" x14ac:dyDescent="0.45">
      <c r="A15" t="s">
        <v>28</v>
      </c>
    </row>
    <row r="17" spans="1:1" x14ac:dyDescent="0.45">
      <c r="A17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E410-DA64-4DE6-902B-408DA75EA09B}">
  <dimension ref="A1:H13"/>
  <sheetViews>
    <sheetView workbookViewId="0">
      <selection activeCell="F17" sqref="F17"/>
    </sheetView>
  </sheetViews>
  <sheetFormatPr defaultRowHeight="14.25" x14ac:dyDescent="0.45"/>
  <cols>
    <col min="3" max="3" width="11.1328125" bestFit="1" customWidth="1"/>
    <col min="4" max="4" width="13.73046875" bestFit="1" customWidth="1"/>
    <col min="5" max="6" width="9.265625" bestFit="1" customWidth="1"/>
  </cols>
  <sheetData>
    <row r="1" spans="1:8" x14ac:dyDescent="0.45">
      <c r="A1" t="s">
        <v>24</v>
      </c>
      <c r="B1" t="s">
        <v>36</v>
      </c>
      <c r="C1" t="s">
        <v>34</v>
      </c>
      <c r="D1" t="s">
        <v>35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45">
      <c r="A2">
        <v>1</v>
      </c>
    </row>
    <row r="3" spans="1:8" x14ac:dyDescent="0.45">
      <c r="A3">
        <v>2</v>
      </c>
    </row>
    <row r="4" spans="1:8" x14ac:dyDescent="0.45">
      <c r="A4">
        <v>3</v>
      </c>
    </row>
    <row r="5" spans="1:8" x14ac:dyDescent="0.45">
      <c r="A5">
        <v>4</v>
      </c>
    </row>
    <row r="6" spans="1:8" x14ac:dyDescent="0.45">
      <c r="A6">
        <v>5</v>
      </c>
    </row>
    <row r="7" spans="1:8" x14ac:dyDescent="0.45">
      <c r="A7">
        <v>6</v>
      </c>
    </row>
    <row r="8" spans="1:8" x14ac:dyDescent="0.45">
      <c r="A8">
        <v>7</v>
      </c>
    </row>
    <row r="9" spans="1:8" x14ac:dyDescent="0.45">
      <c r="A9">
        <v>8</v>
      </c>
    </row>
    <row r="10" spans="1:8" x14ac:dyDescent="0.45">
      <c r="A10">
        <v>9</v>
      </c>
    </row>
    <row r="11" spans="1:8" x14ac:dyDescent="0.45">
      <c r="A11">
        <v>10</v>
      </c>
    </row>
    <row r="13" spans="1:8" x14ac:dyDescent="0.45">
      <c r="A13" t="s">
        <v>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F0B8-FA8F-4F4F-B99B-46006D06054E}">
  <dimension ref="A1:H13"/>
  <sheetViews>
    <sheetView workbookViewId="0">
      <selection activeCell="H1" sqref="A1:H1"/>
    </sheetView>
  </sheetViews>
  <sheetFormatPr defaultRowHeight="14.25" x14ac:dyDescent="0.45"/>
  <cols>
    <col min="4" max="4" width="10.33203125" bestFit="1" customWidth="1"/>
  </cols>
  <sheetData>
    <row r="1" spans="1:8" x14ac:dyDescent="0.45">
      <c r="A1" t="s">
        <v>24</v>
      </c>
      <c r="B1" t="s">
        <v>36</v>
      </c>
      <c r="C1" t="s">
        <v>34</v>
      </c>
      <c r="D1" t="s">
        <v>35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45">
      <c r="A2">
        <v>1</v>
      </c>
    </row>
    <row r="3" spans="1:8" x14ac:dyDescent="0.45">
      <c r="A3">
        <v>2</v>
      </c>
    </row>
    <row r="4" spans="1:8" x14ac:dyDescent="0.45">
      <c r="A4">
        <v>3</v>
      </c>
    </row>
    <row r="5" spans="1:8" x14ac:dyDescent="0.45">
      <c r="A5">
        <v>4</v>
      </c>
    </row>
    <row r="6" spans="1:8" x14ac:dyDescent="0.45">
      <c r="A6">
        <v>5</v>
      </c>
    </row>
    <row r="7" spans="1:8" x14ac:dyDescent="0.45">
      <c r="A7">
        <v>6</v>
      </c>
    </row>
    <row r="8" spans="1:8" x14ac:dyDescent="0.45">
      <c r="A8">
        <v>7</v>
      </c>
    </row>
    <row r="9" spans="1:8" x14ac:dyDescent="0.45">
      <c r="A9">
        <v>8</v>
      </c>
    </row>
    <row r="10" spans="1:8" x14ac:dyDescent="0.45">
      <c r="A10">
        <v>9</v>
      </c>
    </row>
    <row r="11" spans="1:8" x14ac:dyDescent="0.45">
      <c r="A11">
        <v>10</v>
      </c>
    </row>
    <row r="13" spans="1:8" x14ac:dyDescent="0.45">
      <c r="A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FINAL</vt:lpstr>
      <vt:lpstr>förklaringar av data</vt:lpstr>
      <vt:lpstr>part info</vt:lpstr>
      <vt:lpstr>pre-bwe</vt:lpstr>
      <vt:lpstr>post-bwe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2024-03-11T18:56:46Z</dcterms:created>
  <dcterms:modified xsi:type="dcterms:W3CDTF">2024-03-19T12:40:09Z</dcterms:modified>
</cp:coreProperties>
</file>